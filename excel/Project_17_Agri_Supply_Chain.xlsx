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c754bc0d8a1d6/Documents/PROJECTS/Project17-AgriSupply-Chain-Analytics/excel/"/>
    </mc:Choice>
  </mc:AlternateContent>
  <xr:revisionPtr revIDLastSave="1" documentId="8_{F6E56DFF-4ECF-4EB4-A54A-739AA94EC0F4}" xr6:coauthVersionLast="47" xr6:coauthVersionMax="47" xr10:uidLastSave="{0E96AB6F-DA7C-4CD3-9CEC-DCAA18EBEC64}"/>
  <bookViews>
    <workbookView xWindow="-110" yWindow="-110" windowWidth="19420" windowHeight="10300" activeTab="3" xr2:uid="{9BB66DB1-107C-4789-BB2A-9037B708EB53}"/>
  </bookViews>
  <sheets>
    <sheet name="Farms" sheetId="1" r:id="rId1"/>
    <sheet name="Processing_Plants" sheetId="2" r:id="rId2"/>
    <sheet name="Distribution_Centers" sheetId="3" r:id="rId3"/>
    <sheet name="Supply_Transac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1" i="4" l="1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</calcChain>
</file>

<file path=xl/sharedStrings.xml><?xml version="1.0" encoding="utf-8"?>
<sst xmlns="http://schemas.openxmlformats.org/spreadsheetml/2006/main" count="394" uniqueCount="131">
  <si>
    <t>Farm_ID</t>
  </si>
  <si>
    <t>Farm_Name</t>
  </si>
  <si>
    <t>Region</t>
  </si>
  <si>
    <t>Crop_Type</t>
  </si>
  <si>
    <t>Farm_Size_Hectares</t>
  </si>
  <si>
    <t>Annual_Production_Tons</t>
  </si>
  <si>
    <t>F001</t>
  </si>
  <si>
    <t>GreenFields Farm</t>
  </si>
  <si>
    <t>Limpopo</t>
  </si>
  <si>
    <t>Maize</t>
  </si>
  <si>
    <t>F002</t>
  </si>
  <si>
    <t>Sunrise Agriculture</t>
  </si>
  <si>
    <t>Free State</t>
  </si>
  <si>
    <t>Wheat</t>
  </si>
  <si>
    <t>F003</t>
  </si>
  <si>
    <t>Golden Harvest Farm</t>
  </si>
  <si>
    <t>Mpumalanga</t>
  </si>
  <si>
    <t>Sunflower</t>
  </si>
  <si>
    <t>F004</t>
  </si>
  <si>
    <t>Riverland Farms</t>
  </si>
  <si>
    <t>KwaZulu-Natal</t>
  </si>
  <si>
    <t>Sugarcane</t>
  </si>
  <si>
    <t>F005</t>
  </si>
  <si>
    <t>Valley Growers</t>
  </si>
  <si>
    <t>Eastern Cape</t>
  </si>
  <si>
    <t>Cassava</t>
  </si>
  <si>
    <t>F006</t>
  </si>
  <si>
    <t>Horizon Farms</t>
  </si>
  <si>
    <t>North West</t>
  </si>
  <si>
    <t>F007</t>
  </si>
  <si>
    <t>BrightField Agriculture</t>
  </si>
  <si>
    <t>F008</t>
  </si>
  <si>
    <t>AgriGrowth Farms</t>
  </si>
  <si>
    <t>Plant_ID</t>
  </si>
  <si>
    <t>Plant_Name</t>
  </si>
  <si>
    <t>Processing_Type</t>
  </si>
  <si>
    <t>Capacity_Tons</t>
  </si>
  <si>
    <t>P001</t>
  </si>
  <si>
    <t>AgroMill Processing</t>
  </si>
  <si>
    <t>Gauteng</t>
  </si>
  <si>
    <t>Grain Milling</t>
  </si>
  <si>
    <t>P002</t>
  </si>
  <si>
    <t>Golden Oil Plant</t>
  </si>
  <si>
    <t>Oil Processing</t>
  </si>
  <si>
    <t>P003</t>
  </si>
  <si>
    <t>SweetHarvest Plant</t>
  </si>
  <si>
    <t>Sugar Processing</t>
  </si>
  <si>
    <t>P004</t>
  </si>
  <si>
    <t>AgroFoods Processing</t>
  </si>
  <si>
    <t>Food Processing</t>
  </si>
  <si>
    <t>Distribution_ID</t>
  </si>
  <si>
    <t>Distribution_Center</t>
  </si>
  <si>
    <t>Storage_Capacity_Tons</t>
  </si>
  <si>
    <t>D001</t>
  </si>
  <si>
    <t>Johannesburg Distribution Hub</t>
  </si>
  <si>
    <t>D002</t>
  </si>
  <si>
    <t>Durban Logistics Hub</t>
  </si>
  <si>
    <t>D003</t>
  </si>
  <si>
    <t>Cape Town Supply Center</t>
  </si>
  <si>
    <t>Western Cape</t>
  </si>
  <si>
    <t>D004</t>
  </si>
  <si>
    <t>Pretoria Agro Hub</t>
  </si>
  <si>
    <t>Transaction_ID</t>
  </si>
  <si>
    <t>Quantity_Tons</t>
  </si>
  <si>
    <t>Revenue</t>
  </si>
  <si>
    <t>T001</t>
  </si>
  <si>
    <t>T002</t>
  </si>
  <si>
    <t>T003</t>
  </si>
  <si>
    <t>T004</t>
  </si>
  <si>
    <t>T005</t>
  </si>
  <si>
    <t>T006</t>
  </si>
  <si>
    <t>T007</t>
  </si>
  <si>
    <t>T008</t>
  </si>
  <si>
    <t>F009</t>
  </si>
  <si>
    <t>F010</t>
  </si>
  <si>
    <t>F011</t>
  </si>
  <si>
    <t>SweetCane Farms</t>
  </si>
  <si>
    <t>RiverBank Farm</t>
  </si>
  <si>
    <t>WillysWheat Farm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</si>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</sst>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193D-61C5-4616-B852-A16DDF26DFAA}">
  <dimension ref="A1:Q12"/>
  <sheetViews>
    <sheetView topLeftCell="A7" workbookViewId="0">
      <selection activeCell="E13" sqref="E13"/>
    </sheetView>
  </sheetViews>
  <sheetFormatPr defaultRowHeight="14.5" x14ac:dyDescent="0.35"/>
  <cols>
    <col min="1" max="1" width="7.90625" customWidth="1"/>
    <col min="2" max="2" width="14.90625" customWidth="1"/>
    <col min="3" max="3" width="21.26953125" customWidth="1"/>
    <col min="4" max="4" width="9.7265625" customWidth="1"/>
    <col min="5" max="5" width="17.6328125" customWidth="1"/>
    <col min="6" max="6" width="23" customWidth="1"/>
  </cols>
  <sheetData>
    <row r="1" spans="1:17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2"/>
      <c r="O1" s="2"/>
      <c r="P1" s="2"/>
      <c r="Q1" s="2"/>
    </row>
    <row r="2" spans="1:17" ht="29" x14ac:dyDescent="0.35">
      <c r="A2" s="4" t="s">
        <v>6</v>
      </c>
      <c r="B2" s="4" t="s">
        <v>7</v>
      </c>
      <c r="C2" s="4" t="s">
        <v>8</v>
      </c>
      <c r="D2" s="4" t="s">
        <v>9</v>
      </c>
      <c r="E2" s="4">
        <v>120</v>
      </c>
      <c r="F2" s="4">
        <v>850</v>
      </c>
    </row>
    <row r="3" spans="1:17" ht="29" x14ac:dyDescent="0.35">
      <c r="A3" s="4" t="s">
        <v>10</v>
      </c>
      <c r="B3" s="4" t="s">
        <v>11</v>
      </c>
      <c r="C3" s="4" t="s">
        <v>12</v>
      </c>
      <c r="D3" s="4" t="s">
        <v>13</v>
      </c>
      <c r="E3" s="4">
        <v>200</v>
      </c>
      <c r="F3" s="4">
        <v>1400</v>
      </c>
    </row>
    <row r="4" spans="1:17" ht="43.5" x14ac:dyDescent="0.35">
      <c r="A4" s="4" t="s">
        <v>14</v>
      </c>
      <c r="B4" s="4" t="s">
        <v>15</v>
      </c>
      <c r="C4" s="4" t="s">
        <v>16</v>
      </c>
      <c r="D4" s="4" t="s">
        <v>17</v>
      </c>
      <c r="E4" s="4">
        <v>150</v>
      </c>
      <c r="F4" s="4">
        <v>1100</v>
      </c>
    </row>
    <row r="5" spans="1:17" ht="29" x14ac:dyDescent="0.35">
      <c r="A5" s="4" t="s">
        <v>18</v>
      </c>
      <c r="B5" s="4" t="s">
        <v>19</v>
      </c>
      <c r="C5" s="4" t="s">
        <v>20</v>
      </c>
      <c r="D5" s="4" t="s">
        <v>21</v>
      </c>
      <c r="E5" s="4">
        <v>180</v>
      </c>
      <c r="F5" s="4">
        <v>1600</v>
      </c>
    </row>
    <row r="6" spans="1:17" ht="29" x14ac:dyDescent="0.35">
      <c r="A6" s="4" t="s">
        <v>22</v>
      </c>
      <c r="B6" s="4" t="s">
        <v>23</v>
      </c>
      <c r="C6" s="4" t="s">
        <v>24</v>
      </c>
      <c r="D6" s="4" t="s">
        <v>25</v>
      </c>
      <c r="E6" s="4">
        <v>130</v>
      </c>
      <c r="F6" s="4">
        <v>900</v>
      </c>
    </row>
    <row r="7" spans="1:17" ht="29" x14ac:dyDescent="0.35">
      <c r="A7" s="4" t="s">
        <v>26</v>
      </c>
      <c r="B7" s="4" t="s">
        <v>27</v>
      </c>
      <c r="C7" s="4" t="s">
        <v>28</v>
      </c>
      <c r="D7" s="4" t="s">
        <v>9</v>
      </c>
      <c r="E7" s="4">
        <v>210</v>
      </c>
      <c r="F7" s="4">
        <v>1700</v>
      </c>
    </row>
    <row r="8" spans="1:17" ht="29" x14ac:dyDescent="0.35">
      <c r="A8" s="4" t="s">
        <v>29</v>
      </c>
      <c r="B8" s="4" t="s">
        <v>30</v>
      </c>
      <c r="C8" s="4" t="s">
        <v>8</v>
      </c>
      <c r="D8" s="4" t="s">
        <v>17</v>
      </c>
      <c r="E8" s="4">
        <v>160</v>
      </c>
      <c r="F8" s="4">
        <v>1200</v>
      </c>
    </row>
    <row r="9" spans="1:17" ht="29" x14ac:dyDescent="0.35">
      <c r="A9" s="4" t="s">
        <v>31</v>
      </c>
      <c r="B9" s="4" t="s">
        <v>32</v>
      </c>
      <c r="C9" s="4" t="s">
        <v>12</v>
      </c>
      <c r="D9" s="4" t="s">
        <v>13</v>
      </c>
      <c r="E9" s="4">
        <v>190</v>
      </c>
      <c r="F9" s="4">
        <v>1500</v>
      </c>
    </row>
    <row r="10" spans="1:17" ht="29" x14ac:dyDescent="0.35">
      <c r="A10" s="4" t="s">
        <v>73</v>
      </c>
      <c r="B10" s="5" t="s">
        <v>76</v>
      </c>
      <c r="C10" s="5" t="s">
        <v>20</v>
      </c>
      <c r="D10" s="5" t="s">
        <v>21</v>
      </c>
      <c r="E10" s="5">
        <v>200</v>
      </c>
      <c r="F10" s="5">
        <v>1900</v>
      </c>
    </row>
    <row r="11" spans="1:17" x14ac:dyDescent="0.35">
      <c r="A11" s="4" t="s">
        <v>74</v>
      </c>
      <c r="B11" s="5" t="s">
        <v>77</v>
      </c>
      <c r="C11" s="5" t="s">
        <v>8</v>
      </c>
      <c r="D11" s="5" t="s">
        <v>25</v>
      </c>
      <c r="E11" s="5">
        <v>110</v>
      </c>
      <c r="F11" s="5">
        <v>700</v>
      </c>
    </row>
    <row r="12" spans="1:17" ht="29" x14ac:dyDescent="0.35">
      <c r="A12" s="4" t="s">
        <v>75</v>
      </c>
      <c r="B12" s="5" t="s">
        <v>78</v>
      </c>
      <c r="C12" s="5" t="s">
        <v>28</v>
      </c>
      <c r="D12" s="5" t="s">
        <v>13</v>
      </c>
      <c r="E12" s="5">
        <v>220</v>
      </c>
      <c r="F12" s="5">
        <v>1600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46A7-A1CF-47E1-93A0-401E5B6B7D97}">
  <dimension ref="A1:E5"/>
  <sheetViews>
    <sheetView workbookViewId="0">
      <selection activeCell="G5" sqref="G5"/>
    </sheetView>
  </sheetViews>
  <sheetFormatPr defaultRowHeight="14.5" x14ac:dyDescent="0.35"/>
  <cols>
    <col min="2" max="3" width="14.54296875" customWidth="1"/>
    <col min="4" max="4" width="17" customWidth="1"/>
    <col min="5" max="5" width="13.81640625" customWidth="1"/>
  </cols>
  <sheetData>
    <row r="1" spans="1:5" ht="29" x14ac:dyDescent="0.35">
      <c r="A1" s="3" t="s">
        <v>33</v>
      </c>
      <c r="B1" s="3" t="s">
        <v>34</v>
      </c>
      <c r="C1" s="3" t="s">
        <v>2</v>
      </c>
      <c r="D1" s="3" t="s">
        <v>35</v>
      </c>
      <c r="E1" s="3" t="s">
        <v>36</v>
      </c>
    </row>
    <row r="2" spans="1:5" ht="43.5" x14ac:dyDescent="0.35">
      <c r="A2" s="4" t="s">
        <v>37</v>
      </c>
      <c r="B2" s="4" t="s">
        <v>38</v>
      </c>
      <c r="C2" s="4" t="s">
        <v>39</v>
      </c>
      <c r="D2" s="4" t="s">
        <v>40</v>
      </c>
      <c r="E2" s="4">
        <v>3000</v>
      </c>
    </row>
    <row r="3" spans="1:5" ht="43.5" x14ac:dyDescent="0.35">
      <c r="A3" s="4" t="s">
        <v>41</v>
      </c>
      <c r="B3" s="4" t="s">
        <v>42</v>
      </c>
      <c r="C3" s="4" t="s">
        <v>16</v>
      </c>
      <c r="D3" s="4" t="s">
        <v>43</v>
      </c>
      <c r="E3" s="4">
        <v>2500</v>
      </c>
    </row>
    <row r="4" spans="1:5" ht="43.5" x14ac:dyDescent="0.35">
      <c r="A4" s="4" t="s">
        <v>44</v>
      </c>
      <c r="B4" s="4" t="s">
        <v>45</v>
      </c>
      <c r="C4" s="4" t="s">
        <v>20</v>
      </c>
      <c r="D4" s="4" t="s">
        <v>46</v>
      </c>
      <c r="E4" s="4">
        <v>3200</v>
      </c>
    </row>
    <row r="5" spans="1:5" ht="58" x14ac:dyDescent="0.35">
      <c r="A5" s="4" t="s">
        <v>47</v>
      </c>
      <c r="B5" s="4" t="s">
        <v>48</v>
      </c>
      <c r="C5" s="4" t="s">
        <v>12</v>
      </c>
      <c r="D5" s="4" t="s">
        <v>49</v>
      </c>
      <c r="E5" s="4">
        <v>2800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CCD1-61E4-4431-9433-8EBB6951AC11}">
  <dimension ref="A1:D5"/>
  <sheetViews>
    <sheetView workbookViewId="0">
      <selection activeCell="D10" sqref="D10"/>
    </sheetView>
  </sheetViews>
  <sheetFormatPr defaultRowHeight="14.5" x14ac:dyDescent="0.35"/>
  <cols>
    <col min="1" max="1" width="16.90625" customWidth="1"/>
    <col min="2" max="2" width="17.81640625" customWidth="1"/>
    <col min="3" max="3" width="15.08984375" customWidth="1"/>
    <col min="4" max="4" width="20.7265625" customWidth="1"/>
  </cols>
  <sheetData>
    <row r="1" spans="1:4" ht="43.5" x14ac:dyDescent="0.35">
      <c r="A1" s="3" t="s">
        <v>50</v>
      </c>
      <c r="B1" s="3" t="s">
        <v>51</v>
      </c>
      <c r="C1" s="3" t="s">
        <v>2</v>
      </c>
      <c r="D1" s="3" t="s">
        <v>52</v>
      </c>
    </row>
    <row r="2" spans="1:4" ht="58" x14ac:dyDescent="0.35">
      <c r="A2" s="4" t="s">
        <v>53</v>
      </c>
      <c r="B2" s="4" t="s">
        <v>54</v>
      </c>
      <c r="C2" s="4" t="s">
        <v>39</v>
      </c>
      <c r="D2" s="4">
        <v>2000</v>
      </c>
    </row>
    <row r="3" spans="1:4" ht="43.5" x14ac:dyDescent="0.35">
      <c r="A3" s="4" t="s">
        <v>55</v>
      </c>
      <c r="B3" s="4" t="s">
        <v>56</v>
      </c>
      <c r="C3" s="4" t="s">
        <v>20</v>
      </c>
      <c r="D3" s="4">
        <v>1800</v>
      </c>
    </row>
    <row r="4" spans="1:4" ht="58" x14ac:dyDescent="0.35">
      <c r="A4" s="4" t="s">
        <v>57</v>
      </c>
      <c r="B4" s="4" t="s">
        <v>58</v>
      </c>
      <c r="C4" s="4" t="s">
        <v>59</v>
      </c>
      <c r="D4" s="4">
        <v>1600</v>
      </c>
    </row>
    <row r="5" spans="1:4" ht="29" x14ac:dyDescent="0.35">
      <c r="A5" s="4" t="s">
        <v>60</v>
      </c>
      <c r="B5" s="4" t="s">
        <v>61</v>
      </c>
      <c r="C5" s="4" t="s">
        <v>39</v>
      </c>
      <c r="D5" s="4">
        <v>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A48A-982D-402D-93BA-120F834666A6}">
  <dimension ref="A1:G61"/>
  <sheetViews>
    <sheetView tabSelected="1" topLeftCell="A50" workbookViewId="0">
      <selection activeCell="A2" sqref="A2:D61"/>
    </sheetView>
  </sheetViews>
  <sheetFormatPr defaultRowHeight="14.5" x14ac:dyDescent="0.35"/>
  <cols>
    <col min="1" max="1" width="14.81640625" customWidth="1"/>
    <col min="4" max="4" width="14.6328125" customWidth="1"/>
    <col min="5" max="5" width="10.6328125" customWidth="1"/>
    <col min="6" max="6" width="13.26953125" customWidth="1"/>
    <col min="7" max="7" width="9.6328125" customWidth="1"/>
  </cols>
  <sheetData>
    <row r="1" spans="1:7" ht="29" x14ac:dyDescent="0.35">
      <c r="A1" s="3" t="s">
        <v>62</v>
      </c>
      <c r="B1" s="3" t="s">
        <v>0</v>
      </c>
      <c r="C1" s="3" t="s">
        <v>33</v>
      </c>
      <c r="D1" s="3" t="s">
        <v>50</v>
      </c>
      <c r="E1" s="3" t="s">
        <v>3</v>
      </c>
      <c r="F1" s="3" t="s">
        <v>63</v>
      </c>
      <c r="G1" s="3" t="s">
        <v>64</v>
      </c>
    </row>
    <row r="2" spans="1:7" x14ac:dyDescent="0.35">
      <c r="A2" s="4" t="s">
        <v>65</v>
      </c>
      <c r="B2" s="4" t="s">
        <v>6</v>
      </c>
      <c r="C2" s="4" t="s">
        <v>37</v>
      </c>
      <c r="D2" s="4" t="s">
        <v>53</v>
      </c>
      <c r="E2" s="4" t="s">
        <v>9</v>
      </c>
      <c r="F2" s="4">
        <v>200</v>
      </c>
      <c r="G2" s="4">
        <v>180000</v>
      </c>
    </row>
    <row r="3" spans="1:7" x14ac:dyDescent="0.35">
      <c r="A3" s="4" t="s">
        <v>66</v>
      </c>
      <c r="B3" s="4" t="s">
        <v>10</v>
      </c>
      <c r="C3" s="4" t="s">
        <v>37</v>
      </c>
      <c r="D3" s="4" t="s">
        <v>53</v>
      </c>
      <c r="E3" s="4" t="s">
        <v>13</v>
      </c>
      <c r="F3" s="4">
        <v>300</v>
      </c>
      <c r="G3" s="4">
        <v>270000</v>
      </c>
    </row>
    <row r="4" spans="1:7" ht="29" x14ac:dyDescent="0.35">
      <c r="A4" s="4" t="s">
        <v>67</v>
      </c>
      <c r="B4" s="4" t="s">
        <v>14</v>
      </c>
      <c r="C4" s="4" t="s">
        <v>41</v>
      </c>
      <c r="D4" s="4" t="s">
        <v>55</v>
      </c>
      <c r="E4" s="4" t="s">
        <v>17</v>
      </c>
      <c r="F4" s="4">
        <v>250</v>
      </c>
      <c r="G4" s="4">
        <v>260000</v>
      </c>
    </row>
    <row r="5" spans="1:7" ht="29" x14ac:dyDescent="0.35">
      <c r="A5" s="4" t="s">
        <v>68</v>
      </c>
      <c r="B5" s="4" t="s">
        <v>18</v>
      </c>
      <c r="C5" s="4" t="s">
        <v>44</v>
      </c>
      <c r="D5" s="4" t="s">
        <v>55</v>
      </c>
      <c r="E5" s="4" t="s">
        <v>21</v>
      </c>
      <c r="F5" s="4">
        <v>400</v>
      </c>
      <c r="G5" s="4">
        <v>350000</v>
      </c>
    </row>
    <row r="6" spans="1:7" x14ac:dyDescent="0.35">
      <c r="A6" s="4" t="s">
        <v>69</v>
      </c>
      <c r="B6" s="4" t="s">
        <v>22</v>
      </c>
      <c r="C6" s="4" t="s">
        <v>47</v>
      </c>
      <c r="D6" s="4" t="s">
        <v>57</v>
      </c>
      <c r="E6" s="4" t="s">
        <v>25</v>
      </c>
      <c r="F6" s="4">
        <v>180</v>
      </c>
      <c r="G6" s="4">
        <v>150000</v>
      </c>
    </row>
    <row r="7" spans="1:7" x14ac:dyDescent="0.35">
      <c r="A7" s="4" t="s">
        <v>70</v>
      </c>
      <c r="B7" s="4" t="s">
        <v>26</v>
      </c>
      <c r="C7" s="4" t="s">
        <v>37</v>
      </c>
      <c r="D7" s="4" t="s">
        <v>53</v>
      </c>
      <c r="E7" s="4" t="s">
        <v>9</v>
      </c>
      <c r="F7" s="4">
        <v>320</v>
      </c>
      <c r="G7" s="4">
        <v>290000</v>
      </c>
    </row>
    <row r="8" spans="1:7" ht="29" x14ac:dyDescent="0.35">
      <c r="A8" s="4" t="s">
        <v>71</v>
      </c>
      <c r="B8" s="4" t="s">
        <v>29</v>
      </c>
      <c r="C8" s="4" t="s">
        <v>41</v>
      </c>
      <c r="D8" s="4" t="s">
        <v>60</v>
      </c>
      <c r="E8" s="4" t="s">
        <v>17</v>
      </c>
      <c r="F8" s="4">
        <v>210</v>
      </c>
      <c r="G8" s="4">
        <v>200000</v>
      </c>
    </row>
    <row r="9" spans="1:7" x14ac:dyDescent="0.35">
      <c r="A9" s="4" t="s">
        <v>72</v>
      </c>
      <c r="B9" s="4" t="s">
        <v>31</v>
      </c>
      <c r="C9" s="4" t="s">
        <v>37</v>
      </c>
      <c r="D9" s="4" t="s">
        <v>57</v>
      </c>
      <c r="E9" s="4" t="s">
        <v>13</v>
      </c>
      <c r="F9" s="4">
        <v>340</v>
      </c>
      <c r="G9" s="4">
        <v>310000</v>
      </c>
    </row>
    <row r="10" spans="1:7" x14ac:dyDescent="0.35">
      <c r="A10" s="4" t="s">
        <v>79</v>
      </c>
      <c r="B10" s="4" t="s">
        <v>73</v>
      </c>
      <c r="C10" s="5" t="s">
        <v>44</v>
      </c>
      <c r="D10" s="6" t="s">
        <v>55</v>
      </c>
      <c r="E10" s="5" t="s">
        <v>21</v>
      </c>
      <c r="F10" s="6">
        <v>350</v>
      </c>
      <c r="G10" s="6">
        <f>F10*1500</f>
        <v>525000</v>
      </c>
    </row>
    <row r="11" spans="1:7" x14ac:dyDescent="0.35">
      <c r="A11" s="4" t="s">
        <v>80</v>
      </c>
      <c r="B11" s="4" t="s">
        <v>74</v>
      </c>
      <c r="C11" s="5" t="s">
        <v>47</v>
      </c>
      <c r="D11" s="6" t="s">
        <v>60</v>
      </c>
      <c r="E11" s="5" t="s">
        <v>25</v>
      </c>
      <c r="F11" s="6">
        <v>120</v>
      </c>
      <c r="G11" s="6">
        <f>F11*3000</f>
        <v>360000</v>
      </c>
    </row>
    <row r="12" spans="1:7" x14ac:dyDescent="0.35">
      <c r="A12" s="4" t="s">
        <v>81</v>
      </c>
      <c r="B12" s="4" t="s">
        <v>75</v>
      </c>
      <c r="C12" s="5" t="s">
        <v>37</v>
      </c>
      <c r="D12" s="6" t="s">
        <v>53</v>
      </c>
      <c r="E12" s="5" t="s">
        <v>13</v>
      </c>
      <c r="F12" s="6">
        <v>220</v>
      </c>
      <c r="G12" s="6">
        <f>F12*5100</f>
        <v>1122000</v>
      </c>
    </row>
    <row r="13" spans="1:7" x14ac:dyDescent="0.35">
      <c r="A13" s="4" t="s">
        <v>82</v>
      </c>
      <c r="B13" s="6" t="s">
        <v>22</v>
      </c>
      <c r="C13" s="6" t="s">
        <v>47</v>
      </c>
      <c r="D13" s="6" t="s">
        <v>57</v>
      </c>
      <c r="E13" s="6" t="s">
        <v>25</v>
      </c>
      <c r="F13" s="6">
        <v>100</v>
      </c>
      <c r="G13" s="6">
        <f>F13*3000</f>
        <v>300000</v>
      </c>
    </row>
    <row r="14" spans="1:7" x14ac:dyDescent="0.35">
      <c r="A14" s="4" t="s">
        <v>83</v>
      </c>
      <c r="B14" s="6" t="s">
        <v>29</v>
      </c>
      <c r="C14" s="6" t="s">
        <v>41</v>
      </c>
      <c r="D14" s="6" t="s">
        <v>60</v>
      </c>
      <c r="E14" s="6" t="s">
        <v>17</v>
      </c>
      <c r="F14" s="6">
        <v>190</v>
      </c>
      <c r="G14" s="6">
        <f>F14*6200</f>
        <v>1178000</v>
      </c>
    </row>
    <row r="15" spans="1:7" x14ac:dyDescent="0.35">
      <c r="A15" s="4" t="s">
        <v>84</v>
      </c>
      <c r="B15" s="6" t="s">
        <v>73</v>
      </c>
      <c r="C15" s="6" t="s">
        <v>44</v>
      </c>
      <c r="D15" s="6" t="s">
        <v>55</v>
      </c>
      <c r="E15" s="6" t="s">
        <v>21</v>
      </c>
      <c r="F15" s="6">
        <v>320</v>
      </c>
      <c r="G15" s="6">
        <f>F15*1500</f>
        <v>480000</v>
      </c>
    </row>
    <row r="16" spans="1:7" x14ac:dyDescent="0.35">
      <c r="A16" s="4" t="s">
        <v>85</v>
      </c>
      <c r="B16" s="6" t="s">
        <v>6</v>
      </c>
      <c r="C16" s="6" t="s">
        <v>37</v>
      </c>
      <c r="D16" s="6" t="s">
        <v>53</v>
      </c>
      <c r="E16" s="6" t="s">
        <v>9</v>
      </c>
      <c r="F16" s="6">
        <v>210</v>
      </c>
      <c r="G16" s="6">
        <f>F16*4200</f>
        <v>882000</v>
      </c>
    </row>
    <row r="17" spans="1:7" x14ac:dyDescent="0.35">
      <c r="A17" s="4" t="s">
        <v>86</v>
      </c>
      <c r="B17" s="6" t="s">
        <v>14</v>
      </c>
      <c r="C17" s="6" t="s">
        <v>41</v>
      </c>
      <c r="D17" s="6" t="s">
        <v>60</v>
      </c>
      <c r="E17" s="6" t="s">
        <v>17</v>
      </c>
      <c r="F17" s="6">
        <v>280</v>
      </c>
      <c r="G17" s="6">
        <f>F17*6200</f>
        <v>1736000</v>
      </c>
    </row>
    <row r="18" spans="1:7" x14ac:dyDescent="0.35">
      <c r="A18" s="4" t="s">
        <v>87</v>
      </c>
      <c r="B18" s="6" t="s">
        <v>22</v>
      </c>
      <c r="C18" s="6" t="s">
        <v>47</v>
      </c>
      <c r="D18" s="6" t="s">
        <v>57</v>
      </c>
      <c r="E18" s="6" t="s">
        <v>25</v>
      </c>
      <c r="F18" s="6">
        <v>160</v>
      </c>
      <c r="G18" s="6">
        <f>F18*3000</f>
        <v>480000</v>
      </c>
    </row>
    <row r="19" spans="1:7" x14ac:dyDescent="0.35">
      <c r="A19" s="4" t="s">
        <v>88</v>
      </c>
      <c r="B19" s="6" t="s">
        <v>10</v>
      </c>
      <c r="C19" s="6" t="s">
        <v>37</v>
      </c>
      <c r="D19" s="6" t="s">
        <v>53</v>
      </c>
      <c r="E19" s="6" t="s">
        <v>13</v>
      </c>
      <c r="F19" s="6">
        <v>340</v>
      </c>
      <c r="G19" s="6">
        <f>F19*5100</f>
        <v>1734000</v>
      </c>
    </row>
    <row r="20" spans="1:7" x14ac:dyDescent="0.35">
      <c r="A20" s="4" t="s">
        <v>89</v>
      </c>
      <c r="B20" s="6" t="s">
        <v>74</v>
      </c>
      <c r="C20" s="6" t="s">
        <v>47</v>
      </c>
      <c r="D20" s="6" t="s">
        <v>60</v>
      </c>
      <c r="E20" s="6" t="s">
        <v>25</v>
      </c>
      <c r="F20" s="6">
        <v>150</v>
      </c>
      <c r="G20" s="6">
        <f>F20*3000</f>
        <v>450000</v>
      </c>
    </row>
    <row r="21" spans="1:7" x14ac:dyDescent="0.35">
      <c r="A21" s="4" t="s">
        <v>90</v>
      </c>
      <c r="B21" s="6" t="s">
        <v>75</v>
      </c>
      <c r="C21" s="6" t="s">
        <v>37</v>
      </c>
      <c r="D21" s="6" t="s">
        <v>53</v>
      </c>
      <c r="E21" s="6" t="s">
        <v>13</v>
      </c>
      <c r="F21" s="6">
        <v>270</v>
      </c>
      <c r="G21" s="6">
        <f>F21*5100</f>
        <v>1377000</v>
      </c>
    </row>
    <row r="22" spans="1:7" x14ac:dyDescent="0.35">
      <c r="A22" s="4" t="s">
        <v>91</v>
      </c>
      <c r="B22" s="6" t="s">
        <v>73</v>
      </c>
      <c r="C22" s="6" t="s">
        <v>44</v>
      </c>
      <c r="D22" s="6" t="s">
        <v>55</v>
      </c>
      <c r="E22" s="6" t="s">
        <v>21</v>
      </c>
      <c r="F22" s="6">
        <v>330</v>
      </c>
      <c r="G22" s="6">
        <f>F22*1500</f>
        <v>495000</v>
      </c>
    </row>
    <row r="23" spans="1:7" x14ac:dyDescent="0.35">
      <c r="A23" s="4" t="s">
        <v>92</v>
      </c>
      <c r="B23" s="6" t="s">
        <v>18</v>
      </c>
      <c r="C23" s="6" t="s">
        <v>44</v>
      </c>
      <c r="D23" s="6" t="s">
        <v>57</v>
      </c>
      <c r="E23" s="6" t="s">
        <v>21</v>
      </c>
      <c r="F23" s="6">
        <v>450</v>
      </c>
      <c r="G23" s="6">
        <f>F23*1500</f>
        <v>675000</v>
      </c>
    </row>
    <row r="24" spans="1:7" x14ac:dyDescent="0.35">
      <c r="A24" s="4" t="s">
        <v>93</v>
      </c>
      <c r="B24" s="6" t="s">
        <v>14</v>
      </c>
      <c r="C24" s="6" t="s">
        <v>41</v>
      </c>
      <c r="D24" s="6" t="s">
        <v>60</v>
      </c>
      <c r="E24" s="6" t="s">
        <v>17</v>
      </c>
      <c r="F24" s="6">
        <v>260</v>
      </c>
      <c r="G24" s="6">
        <f>F24*6200</f>
        <v>1612000</v>
      </c>
    </row>
    <row r="25" spans="1:7" x14ac:dyDescent="0.35">
      <c r="A25" s="4" t="s">
        <v>94</v>
      </c>
      <c r="B25" s="6" t="s">
        <v>75</v>
      </c>
      <c r="C25" s="6" t="s">
        <v>37</v>
      </c>
      <c r="D25" s="6" t="s">
        <v>53</v>
      </c>
      <c r="E25" s="6" t="s">
        <v>13</v>
      </c>
      <c r="F25" s="6">
        <v>210</v>
      </c>
      <c r="G25" s="6">
        <f>F25*5100</f>
        <v>1071000</v>
      </c>
    </row>
    <row r="26" spans="1:7" x14ac:dyDescent="0.35">
      <c r="A26" s="4" t="s">
        <v>95</v>
      </c>
      <c r="B26" s="6" t="s">
        <v>6</v>
      </c>
      <c r="C26" s="6" t="s">
        <v>37</v>
      </c>
      <c r="D26" s="6" t="s">
        <v>53</v>
      </c>
      <c r="E26" s="6" t="s">
        <v>9</v>
      </c>
      <c r="F26" s="6">
        <v>290</v>
      </c>
      <c r="G26" s="6">
        <f>F26*4200</f>
        <v>1218000</v>
      </c>
    </row>
    <row r="27" spans="1:7" x14ac:dyDescent="0.35">
      <c r="A27" s="4" t="s">
        <v>96</v>
      </c>
      <c r="B27" s="6" t="s">
        <v>74</v>
      </c>
      <c r="C27" s="6" t="s">
        <v>47</v>
      </c>
      <c r="D27" s="6" t="s">
        <v>60</v>
      </c>
      <c r="E27" s="6" t="s">
        <v>25</v>
      </c>
      <c r="F27" s="6">
        <v>150</v>
      </c>
      <c r="G27" s="6">
        <f>F27*3000</f>
        <v>450000</v>
      </c>
    </row>
    <row r="28" spans="1:7" x14ac:dyDescent="0.35">
      <c r="A28" s="4" t="s">
        <v>97</v>
      </c>
      <c r="B28" s="6" t="s">
        <v>22</v>
      </c>
      <c r="C28" s="6" t="s">
        <v>47</v>
      </c>
      <c r="D28" s="6" t="s">
        <v>57</v>
      </c>
      <c r="E28" s="6" t="s">
        <v>25</v>
      </c>
      <c r="F28" s="6">
        <v>110</v>
      </c>
      <c r="G28" s="6">
        <f>F28*3000</f>
        <v>330000</v>
      </c>
    </row>
    <row r="29" spans="1:7" x14ac:dyDescent="0.35">
      <c r="A29" s="4" t="s">
        <v>98</v>
      </c>
      <c r="B29" s="6" t="s">
        <v>18</v>
      </c>
      <c r="C29" s="6" t="s">
        <v>44</v>
      </c>
      <c r="D29" s="6" t="s">
        <v>57</v>
      </c>
      <c r="E29" s="6" t="s">
        <v>21</v>
      </c>
      <c r="F29" s="6">
        <v>290</v>
      </c>
      <c r="G29" s="6">
        <f>F29*1500</f>
        <v>435000</v>
      </c>
    </row>
    <row r="30" spans="1:7" x14ac:dyDescent="0.35">
      <c r="A30" s="4" t="s">
        <v>99</v>
      </c>
      <c r="B30" s="6" t="s">
        <v>73</v>
      </c>
      <c r="C30" s="6" t="s">
        <v>44</v>
      </c>
      <c r="D30" s="6" t="s">
        <v>55</v>
      </c>
      <c r="E30" s="6" t="s">
        <v>21</v>
      </c>
      <c r="F30" s="6">
        <v>300</v>
      </c>
      <c r="G30" s="6">
        <f>F30*1500</f>
        <v>450000</v>
      </c>
    </row>
    <row r="31" spans="1:7" x14ac:dyDescent="0.35">
      <c r="A31" s="4" t="s">
        <v>100</v>
      </c>
      <c r="B31" s="6" t="s">
        <v>75</v>
      </c>
      <c r="C31" s="6" t="s">
        <v>37</v>
      </c>
      <c r="D31" s="6" t="s">
        <v>53</v>
      </c>
      <c r="E31" s="6" t="s">
        <v>13</v>
      </c>
      <c r="F31" s="6">
        <v>200</v>
      </c>
      <c r="G31" s="6">
        <f>F31*5100</f>
        <v>1020000</v>
      </c>
    </row>
    <row r="32" spans="1:7" x14ac:dyDescent="0.35">
      <c r="A32" s="4" t="s">
        <v>101</v>
      </c>
      <c r="B32" s="6" t="s">
        <v>26</v>
      </c>
      <c r="C32" s="6" t="s">
        <v>37</v>
      </c>
      <c r="D32" s="6" t="s">
        <v>53</v>
      </c>
      <c r="E32" s="6" t="s">
        <v>9</v>
      </c>
      <c r="F32" s="6">
        <v>300</v>
      </c>
      <c r="G32" s="6">
        <f>F32*4200</f>
        <v>1260000</v>
      </c>
    </row>
    <row r="33" spans="1:7" x14ac:dyDescent="0.35">
      <c r="A33" s="4" t="s">
        <v>102</v>
      </c>
      <c r="B33" s="6" t="s">
        <v>74</v>
      </c>
      <c r="C33" s="6" t="s">
        <v>47</v>
      </c>
      <c r="D33" s="6" t="s">
        <v>60</v>
      </c>
      <c r="E33" s="6" t="s">
        <v>25</v>
      </c>
      <c r="F33" s="6">
        <v>200</v>
      </c>
      <c r="G33" s="6">
        <f>F33*3000</f>
        <v>600000</v>
      </c>
    </row>
    <row r="34" spans="1:7" x14ac:dyDescent="0.35">
      <c r="A34" s="4" t="s">
        <v>103</v>
      </c>
      <c r="B34" s="6" t="s">
        <v>10</v>
      </c>
      <c r="C34" s="6" t="s">
        <v>37</v>
      </c>
      <c r="D34" s="6" t="s">
        <v>55</v>
      </c>
      <c r="E34" s="6" t="s">
        <v>13</v>
      </c>
      <c r="F34" s="6">
        <v>250</v>
      </c>
      <c r="G34" s="6">
        <f>F34*5100</f>
        <v>1275000</v>
      </c>
    </row>
    <row r="35" spans="1:7" x14ac:dyDescent="0.35">
      <c r="A35" s="4" t="s">
        <v>104</v>
      </c>
      <c r="B35" s="6" t="s">
        <v>31</v>
      </c>
      <c r="C35" s="6" t="s">
        <v>37</v>
      </c>
      <c r="D35" s="6" t="s">
        <v>55</v>
      </c>
      <c r="E35" s="6" t="s">
        <v>13</v>
      </c>
      <c r="F35" s="6">
        <v>280</v>
      </c>
      <c r="G35" s="6">
        <f>F35*5100</f>
        <v>1428000</v>
      </c>
    </row>
    <row r="36" spans="1:7" x14ac:dyDescent="0.35">
      <c r="A36" s="4" t="s">
        <v>105</v>
      </c>
      <c r="B36" s="6" t="s">
        <v>6</v>
      </c>
      <c r="C36" s="6" t="s">
        <v>37</v>
      </c>
      <c r="D36" s="6" t="s">
        <v>60</v>
      </c>
      <c r="E36" s="6" t="s">
        <v>9</v>
      </c>
      <c r="F36" s="6">
        <v>320</v>
      </c>
      <c r="G36" s="6">
        <f>F36*4200</f>
        <v>1344000</v>
      </c>
    </row>
    <row r="37" spans="1:7" x14ac:dyDescent="0.35">
      <c r="A37" s="4" t="s">
        <v>106</v>
      </c>
      <c r="B37" s="6" t="s">
        <v>29</v>
      </c>
      <c r="C37" s="6" t="s">
        <v>41</v>
      </c>
      <c r="D37" s="6" t="s">
        <v>60</v>
      </c>
      <c r="E37" s="6" t="s">
        <v>17</v>
      </c>
      <c r="F37" s="6">
        <v>230</v>
      </c>
      <c r="G37" s="6">
        <f>F37*6200</f>
        <v>1426000</v>
      </c>
    </row>
    <row r="38" spans="1:7" x14ac:dyDescent="0.35">
      <c r="A38" s="4" t="s">
        <v>107</v>
      </c>
      <c r="B38" s="6" t="s">
        <v>75</v>
      </c>
      <c r="C38" s="6" t="s">
        <v>37</v>
      </c>
      <c r="D38" s="6" t="s">
        <v>53</v>
      </c>
      <c r="E38" s="6" t="s">
        <v>13</v>
      </c>
      <c r="F38" s="6">
        <v>210</v>
      </c>
      <c r="G38" s="6">
        <f>F38*5100</f>
        <v>1071000</v>
      </c>
    </row>
    <row r="39" spans="1:7" x14ac:dyDescent="0.35">
      <c r="A39" s="4" t="s">
        <v>108</v>
      </c>
      <c r="B39" s="6" t="s">
        <v>10</v>
      </c>
      <c r="C39" s="6" t="s">
        <v>37</v>
      </c>
      <c r="D39" s="6" t="s">
        <v>55</v>
      </c>
      <c r="E39" s="6" t="s">
        <v>13</v>
      </c>
      <c r="F39" s="6">
        <v>190</v>
      </c>
      <c r="G39" s="6">
        <f>F39*5100</f>
        <v>969000</v>
      </c>
    </row>
    <row r="40" spans="1:7" x14ac:dyDescent="0.35">
      <c r="A40" s="4" t="s">
        <v>109</v>
      </c>
      <c r="B40" s="6" t="s">
        <v>14</v>
      </c>
      <c r="C40" s="6" t="s">
        <v>41</v>
      </c>
      <c r="D40" s="6" t="s">
        <v>60</v>
      </c>
      <c r="E40" s="6" t="s">
        <v>17</v>
      </c>
      <c r="F40" s="6">
        <v>240</v>
      </c>
      <c r="G40" s="6">
        <f>F40*6200</f>
        <v>1488000</v>
      </c>
    </row>
    <row r="41" spans="1:7" x14ac:dyDescent="0.35">
      <c r="A41" s="4" t="s">
        <v>110</v>
      </c>
      <c r="B41" s="6" t="s">
        <v>26</v>
      </c>
      <c r="C41" s="6" t="s">
        <v>37</v>
      </c>
      <c r="D41" s="6" t="s">
        <v>53</v>
      </c>
      <c r="E41" s="6" t="s">
        <v>9</v>
      </c>
      <c r="F41" s="6">
        <v>320</v>
      </c>
      <c r="G41" s="6">
        <f>F41*4200</f>
        <v>1344000</v>
      </c>
    </row>
    <row r="42" spans="1:7" x14ac:dyDescent="0.35">
      <c r="A42" s="4" t="s">
        <v>111</v>
      </c>
      <c r="B42" s="6" t="s">
        <v>74</v>
      </c>
      <c r="C42" s="6" t="s">
        <v>47</v>
      </c>
      <c r="D42" s="6" t="s">
        <v>60</v>
      </c>
      <c r="E42" s="6" t="s">
        <v>25</v>
      </c>
      <c r="F42" s="6">
        <v>210</v>
      </c>
      <c r="G42" s="6">
        <f>F42*3000</f>
        <v>630000</v>
      </c>
    </row>
    <row r="43" spans="1:7" x14ac:dyDescent="0.35">
      <c r="A43" s="4" t="s">
        <v>112</v>
      </c>
      <c r="B43" s="6" t="s">
        <v>73</v>
      </c>
      <c r="C43" s="6" t="s">
        <v>44</v>
      </c>
      <c r="D43" s="6" t="s">
        <v>55</v>
      </c>
      <c r="E43" s="6" t="s">
        <v>21</v>
      </c>
      <c r="F43" s="6">
        <v>260</v>
      </c>
      <c r="G43" s="6">
        <f>F43*1500</f>
        <v>390000</v>
      </c>
    </row>
    <row r="44" spans="1:7" x14ac:dyDescent="0.35">
      <c r="A44" s="4" t="s">
        <v>113</v>
      </c>
      <c r="B44" s="6" t="s">
        <v>18</v>
      </c>
      <c r="C44" s="6" t="s">
        <v>44</v>
      </c>
      <c r="D44" s="6" t="s">
        <v>55</v>
      </c>
      <c r="E44" s="6" t="s">
        <v>21</v>
      </c>
      <c r="F44" s="6">
        <v>250</v>
      </c>
      <c r="G44" s="6">
        <f>F44*1500</f>
        <v>375000</v>
      </c>
    </row>
    <row r="45" spans="1:7" x14ac:dyDescent="0.35">
      <c r="A45" s="4" t="s">
        <v>114</v>
      </c>
      <c r="B45" s="6" t="s">
        <v>26</v>
      </c>
      <c r="C45" s="6" t="s">
        <v>37</v>
      </c>
      <c r="D45" s="6" t="s">
        <v>53</v>
      </c>
      <c r="E45" s="6" t="s">
        <v>9</v>
      </c>
      <c r="F45" s="6">
        <v>300</v>
      </c>
      <c r="G45" s="6">
        <f>F45*4200</f>
        <v>1260000</v>
      </c>
    </row>
    <row r="46" spans="1:7" x14ac:dyDescent="0.35">
      <c r="A46" s="4" t="s">
        <v>115</v>
      </c>
      <c r="B46" s="6" t="s">
        <v>6</v>
      </c>
      <c r="C46" s="6" t="s">
        <v>37</v>
      </c>
      <c r="D46" s="6" t="s">
        <v>60</v>
      </c>
      <c r="E46" s="6" t="s">
        <v>9</v>
      </c>
      <c r="F46" s="6">
        <v>450</v>
      </c>
      <c r="G46" s="6">
        <f>F46*4200</f>
        <v>1890000</v>
      </c>
    </row>
    <row r="47" spans="1:7" x14ac:dyDescent="0.35">
      <c r="A47" s="4" t="s">
        <v>116</v>
      </c>
      <c r="B47" s="6" t="s">
        <v>22</v>
      </c>
      <c r="C47" s="6" t="s">
        <v>47</v>
      </c>
      <c r="D47" s="6" t="s">
        <v>57</v>
      </c>
      <c r="E47" s="6" t="s">
        <v>25</v>
      </c>
      <c r="F47" s="6">
        <v>190</v>
      </c>
      <c r="G47" s="6">
        <f>F47*3000</f>
        <v>570000</v>
      </c>
    </row>
    <row r="48" spans="1:7" x14ac:dyDescent="0.35">
      <c r="A48" s="4" t="s">
        <v>117</v>
      </c>
      <c r="B48" s="6" t="s">
        <v>31</v>
      </c>
      <c r="C48" s="6" t="s">
        <v>37</v>
      </c>
      <c r="D48" s="6" t="s">
        <v>55</v>
      </c>
      <c r="E48" s="6" t="s">
        <v>13</v>
      </c>
      <c r="F48" s="6">
        <v>230</v>
      </c>
      <c r="G48" s="6">
        <f>F48*5100</f>
        <v>1173000</v>
      </c>
    </row>
    <row r="49" spans="1:7" x14ac:dyDescent="0.35">
      <c r="A49" s="4" t="s">
        <v>118</v>
      </c>
      <c r="B49" s="6" t="s">
        <v>18</v>
      </c>
      <c r="C49" s="6" t="s">
        <v>44</v>
      </c>
      <c r="D49" s="6" t="s">
        <v>55</v>
      </c>
      <c r="E49" s="6" t="s">
        <v>21</v>
      </c>
      <c r="F49" s="6">
        <v>280</v>
      </c>
      <c r="G49" s="6">
        <f>F49*1500</f>
        <v>420000</v>
      </c>
    </row>
    <row r="50" spans="1:7" x14ac:dyDescent="0.35">
      <c r="A50" s="4" t="s">
        <v>119</v>
      </c>
      <c r="B50" s="6" t="s">
        <v>75</v>
      </c>
      <c r="C50" s="6" t="s">
        <v>37</v>
      </c>
      <c r="D50" s="6" t="s">
        <v>53</v>
      </c>
      <c r="E50" s="6" t="s">
        <v>13</v>
      </c>
      <c r="F50" s="6">
        <v>200</v>
      </c>
      <c r="G50" s="6">
        <f>F50*5100</f>
        <v>1020000</v>
      </c>
    </row>
    <row r="51" spans="1:7" x14ac:dyDescent="0.35">
      <c r="A51" s="4" t="s">
        <v>120</v>
      </c>
      <c r="B51" s="6" t="s">
        <v>74</v>
      </c>
      <c r="C51" s="6" t="s">
        <v>47</v>
      </c>
      <c r="D51" s="6" t="s">
        <v>60</v>
      </c>
      <c r="E51" s="6" t="s">
        <v>25</v>
      </c>
      <c r="F51" s="6">
        <v>160</v>
      </c>
      <c r="G51" s="6">
        <f>F51*3000</f>
        <v>480000</v>
      </c>
    </row>
    <row r="52" spans="1:7" x14ac:dyDescent="0.35">
      <c r="A52" s="4" t="s">
        <v>121</v>
      </c>
      <c r="B52" s="6" t="s">
        <v>6</v>
      </c>
      <c r="C52" s="6" t="s">
        <v>37</v>
      </c>
      <c r="D52" s="6" t="s">
        <v>60</v>
      </c>
      <c r="E52" s="6" t="s">
        <v>9</v>
      </c>
      <c r="F52" s="6">
        <v>320</v>
      </c>
      <c r="G52" s="6">
        <f>F52*4200</f>
        <v>1344000</v>
      </c>
    </row>
    <row r="53" spans="1:7" x14ac:dyDescent="0.35">
      <c r="A53" s="4" t="s">
        <v>122</v>
      </c>
      <c r="B53" s="6" t="s">
        <v>10</v>
      </c>
      <c r="C53" s="6" t="s">
        <v>37</v>
      </c>
      <c r="D53" s="6" t="s">
        <v>55</v>
      </c>
      <c r="E53" s="6" t="s">
        <v>13</v>
      </c>
      <c r="F53" s="6">
        <v>210</v>
      </c>
      <c r="G53" s="6">
        <f>F53*5100</f>
        <v>1071000</v>
      </c>
    </row>
    <row r="54" spans="1:7" x14ac:dyDescent="0.35">
      <c r="A54" s="4" t="s">
        <v>123</v>
      </c>
      <c r="B54" s="6" t="s">
        <v>18</v>
      </c>
      <c r="C54" s="6" t="s">
        <v>44</v>
      </c>
      <c r="D54" s="6" t="s">
        <v>55</v>
      </c>
      <c r="E54" s="6" t="s">
        <v>21</v>
      </c>
      <c r="F54" s="6">
        <v>250</v>
      </c>
      <c r="G54" s="6">
        <f>F54*1500</f>
        <v>375000</v>
      </c>
    </row>
    <row r="55" spans="1:7" x14ac:dyDescent="0.35">
      <c r="A55" s="4" t="s">
        <v>124</v>
      </c>
      <c r="B55" s="6" t="s">
        <v>26</v>
      </c>
      <c r="C55" s="6" t="s">
        <v>37</v>
      </c>
      <c r="D55" s="6" t="s">
        <v>53</v>
      </c>
      <c r="E55" s="6" t="s">
        <v>9</v>
      </c>
      <c r="F55" s="6">
        <v>330</v>
      </c>
      <c r="G55" s="6">
        <f>F55*4200</f>
        <v>1386000</v>
      </c>
    </row>
    <row r="56" spans="1:7" x14ac:dyDescent="0.35">
      <c r="A56" s="4" t="s">
        <v>125</v>
      </c>
      <c r="B56" s="6" t="s">
        <v>73</v>
      </c>
      <c r="C56" s="6" t="s">
        <v>44</v>
      </c>
      <c r="D56" s="6" t="s">
        <v>55</v>
      </c>
      <c r="E56" s="6" t="s">
        <v>21</v>
      </c>
      <c r="F56" s="6">
        <v>220</v>
      </c>
      <c r="G56" s="6">
        <f>F56*1500</f>
        <v>330000</v>
      </c>
    </row>
    <row r="57" spans="1:7" x14ac:dyDescent="0.35">
      <c r="A57" s="4" t="s">
        <v>126</v>
      </c>
      <c r="B57" s="6" t="s">
        <v>14</v>
      </c>
      <c r="C57" s="6" t="s">
        <v>41</v>
      </c>
      <c r="D57" s="6" t="s">
        <v>60</v>
      </c>
      <c r="E57" s="6" t="s">
        <v>17</v>
      </c>
      <c r="F57" s="6">
        <v>290</v>
      </c>
      <c r="G57" s="6">
        <f>F57*6200</f>
        <v>1798000</v>
      </c>
    </row>
    <row r="58" spans="1:7" x14ac:dyDescent="0.35">
      <c r="A58" s="4" t="s">
        <v>127</v>
      </c>
      <c r="B58" s="6" t="s">
        <v>29</v>
      </c>
      <c r="C58" s="6" t="s">
        <v>41</v>
      </c>
      <c r="D58" s="6" t="s">
        <v>60</v>
      </c>
      <c r="E58" s="6" t="s">
        <v>17</v>
      </c>
      <c r="F58" s="6">
        <v>240</v>
      </c>
      <c r="G58" s="6">
        <f>F58*6200</f>
        <v>1488000</v>
      </c>
    </row>
    <row r="59" spans="1:7" x14ac:dyDescent="0.35">
      <c r="A59" s="4" t="s">
        <v>128</v>
      </c>
      <c r="B59" s="6" t="s">
        <v>75</v>
      </c>
      <c r="C59" s="6" t="s">
        <v>37</v>
      </c>
      <c r="D59" s="6" t="s">
        <v>53</v>
      </c>
      <c r="E59" s="6" t="s">
        <v>13</v>
      </c>
      <c r="F59" s="6">
        <v>180</v>
      </c>
      <c r="G59" s="6">
        <f>F59*5100</f>
        <v>918000</v>
      </c>
    </row>
    <row r="60" spans="1:7" x14ac:dyDescent="0.35">
      <c r="A60" s="4" t="s">
        <v>129</v>
      </c>
      <c r="B60" s="6" t="s">
        <v>22</v>
      </c>
      <c r="C60" s="6" t="s">
        <v>47</v>
      </c>
      <c r="D60" s="6" t="s">
        <v>57</v>
      </c>
      <c r="E60" s="6" t="s">
        <v>25</v>
      </c>
      <c r="F60" s="6">
        <v>140</v>
      </c>
      <c r="G60" s="6">
        <f>F60*3000</f>
        <v>420000</v>
      </c>
    </row>
    <row r="61" spans="1:7" x14ac:dyDescent="0.35">
      <c r="A61" s="4" t="s">
        <v>130</v>
      </c>
      <c r="B61" s="6" t="s">
        <v>74</v>
      </c>
      <c r="C61" s="6" t="s">
        <v>47</v>
      </c>
      <c r="D61" s="6" t="s">
        <v>60</v>
      </c>
      <c r="E61" s="6" t="s">
        <v>25</v>
      </c>
      <c r="F61" s="6">
        <v>120</v>
      </c>
      <c r="G61" s="6">
        <f>F61*3000</f>
        <v>360000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Farms</vt:lpstr>
      <vt:lpstr>Processing_Plants</vt:lpstr>
      <vt:lpstr>Distribution_Centers</vt:lpstr>
      <vt:lpstr>Supply_Transactions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Thabang</dc:creator>
  <cp:lastModifiedBy>Thabang</cp:lastModifiedBy>
  <dcterms:created xsi:type="dcterms:W3CDTF">2026-03-08T13:14:06Z</dcterms:created>
  <dcterms:modified xsi:type="dcterms:W3CDTF">2026-03-09T07:16:37Z</dcterms:modified>
</cp:coreProperties>
</file>